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\"/>
    </mc:Choice>
  </mc:AlternateContent>
  <xr:revisionPtr revIDLastSave="0" documentId="13_ncr:1_{5756BD27-610B-4F91-9F84-4735A80A1069}" xr6:coauthVersionLast="47" xr6:coauthVersionMax="47" xr10:uidLastSave="{00000000-0000-0000-0000-000000000000}"/>
  <bookViews>
    <workbookView xWindow="-120" yWindow="-120" windowWidth="20730" windowHeight="11760" xr2:uid="{D0CAEECD-676A-476C-8A85-C1EF4B3A75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9" i="1" l="1"/>
  <c r="J38" i="1"/>
  <c r="J7" i="1"/>
  <c r="J6" i="1"/>
  <c r="J57" i="1"/>
  <c r="J56" i="1"/>
  <c r="J55" i="1"/>
  <c r="J54" i="1"/>
  <c r="J53" i="1"/>
  <c r="J52" i="1"/>
  <c r="J50" i="1"/>
  <c r="J51" i="1"/>
  <c r="J49" i="1"/>
  <c r="J47" i="1"/>
  <c r="J48" i="1"/>
  <c r="J46" i="1"/>
  <c r="J45" i="1"/>
  <c r="J44" i="1"/>
  <c r="J43" i="1"/>
  <c r="J41" i="1"/>
  <c r="J42" i="1"/>
  <c r="J40" i="1"/>
  <c r="J31" i="1"/>
  <c r="J32" i="1"/>
  <c r="J33" i="1"/>
  <c r="J34" i="1"/>
  <c r="J35" i="1"/>
  <c r="J36" i="1"/>
  <c r="J37" i="1"/>
  <c r="J30" i="1"/>
  <c r="J29" i="1"/>
  <c r="J28" i="1"/>
  <c r="J26" i="1"/>
  <c r="J27" i="1"/>
  <c r="J25" i="1"/>
  <c r="J21" i="1"/>
  <c r="J22" i="1"/>
  <c r="J23" i="1"/>
  <c r="J24" i="1"/>
  <c r="J20" i="1"/>
  <c r="J12" i="1"/>
  <c r="J13" i="1"/>
  <c r="J14" i="1"/>
  <c r="J15" i="1"/>
  <c r="J16" i="1"/>
  <c r="J17" i="1"/>
  <c r="J18" i="1"/>
  <c r="J19" i="1"/>
  <c r="J11" i="1"/>
  <c r="J9" i="1"/>
  <c r="J10" i="1"/>
  <c r="J8" i="1"/>
  <c r="J4" i="1"/>
  <c r="J5" i="1"/>
  <c r="J3" i="1"/>
</calcChain>
</file>

<file path=xl/sharedStrings.xml><?xml version="1.0" encoding="utf-8"?>
<sst xmlns="http://schemas.openxmlformats.org/spreadsheetml/2006/main" count="120" uniqueCount="63">
  <si>
    <t>no</t>
  </si>
  <si>
    <t>lokasi</t>
  </si>
  <si>
    <t>mutu</t>
  </si>
  <si>
    <t>semen</t>
  </si>
  <si>
    <t>air</t>
  </si>
  <si>
    <t>pasir</t>
  </si>
  <si>
    <t>batu1-2</t>
  </si>
  <si>
    <t>batu2-3</t>
  </si>
  <si>
    <t>age</t>
  </si>
  <si>
    <t>fc_aktual</t>
  </si>
  <si>
    <t>madiun</t>
  </si>
  <si>
    <t>ringin anom</t>
  </si>
  <si>
    <t>base camp</t>
  </si>
  <si>
    <t>ngawi jalan diponegoro</t>
  </si>
  <si>
    <t>fc 20</t>
  </si>
  <si>
    <t>k 300</t>
  </si>
  <si>
    <t>jagir</t>
  </si>
  <si>
    <t>sine jagir</t>
  </si>
  <si>
    <t>gerih</t>
  </si>
  <si>
    <t>gentong</t>
  </si>
  <si>
    <t>jenangan</t>
  </si>
  <si>
    <t>siliwangi</t>
  </si>
  <si>
    <t>k 250</t>
  </si>
  <si>
    <t>bringin</t>
  </si>
  <si>
    <t>karangjati</t>
  </si>
  <si>
    <t>widodaren</t>
  </si>
  <si>
    <t>smp 1 geneng</t>
  </si>
  <si>
    <t>pojok</t>
  </si>
  <si>
    <t>tejo</t>
  </si>
  <si>
    <t>p ropingi</t>
  </si>
  <si>
    <t>tepas</t>
  </si>
  <si>
    <t>k 125</t>
  </si>
  <si>
    <t>ropingi</t>
  </si>
  <si>
    <t>geneng</t>
  </si>
  <si>
    <t>koperasi sidorejo</t>
  </si>
  <si>
    <t>pak katon</t>
  </si>
  <si>
    <t>k 225</t>
  </si>
  <si>
    <t>koperasi kersikan</t>
  </si>
  <si>
    <t>pak ropingi</t>
  </si>
  <si>
    <t>k 200</t>
  </si>
  <si>
    <t>mbg kendal</t>
  </si>
  <si>
    <t>pak edi tepas</t>
  </si>
  <si>
    <t>sonde</t>
  </si>
  <si>
    <t>beran</t>
  </si>
  <si>
    <t>baderan</t>
  </si>
  <si>
    <t>pak aji ngawi</t>
  </si>
  <si>
    <t>guyung</t>
  </si>
  <si>
    <t>maidun</t>
  </si>
  <si>
    <t>fc 15</t>
  </si>
  <si>
    <t>madiun proliman</t>
  </si>
  <si>
    <t>madiun jl pahlawan</t>
  </si>
  <si>
    <t>k 175</t>
  </si>
  <si>
    <t>grudo</t>
  </si>
  <si>
    <t>margomulyo</t>
  </si>
  <si>
    <t>pak andri</t>
  </si>
  <si>
    <t>mbg tambakromo</t>
  </si>
  <si>
    <t>mbg tawun</t>
  </si>
  <si>
    <t>sidorejo</t>
  </si>
  <si>
    <t>jatigembol</t>
  </si>
  <si>
    <t>k 400</t>
  </si>
  <si>
    <t>pak yatimin</t>
  </si>
  <si>
    <t>mbg geneng</t>
  </si>
  <si>
    <t>k 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</si>
</sst>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E1CD-5607-45B5-9EDA-A87334B6DD09}">
  <dimension ref="A2:J57"/>
  <sheetViews>
    <sheetView tabSelected="1" topLeftCell="A3" workbookViewId="0">
      <selection activeCell="E18" sqref="E18"/>
    </sheetView>
  </sheetViews>
  <sheetFormatPr defaultRowHeight="15" x14ac:dyDescent="0.25"/>
  <cols>
    <col min="2" max="2" width="22" customWidth="1"/>
    <col min="10" max="10" width="11.5703125" bestFit="1" customWidth="1"/>
  </cols>
  <sheetData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>
        <v>1</v>
      </c>
      <c r="B3" t="s">
        <v>10</v>
      </c>
      <c r="C3" t="s">
        <v>15</v>
      </c>
      <c r="D3">
        <v>330</v>
      </c>
      <c r="E3">
        <v>188</v>
      </c>
      <c r="F3">
        <v>782</v>
      </c>
      <c r="G3">
        <v>400</v>
      </c>
      <c r="H3">
        <v>650</v>
      </c>
      <c r="I3">
        <v>28</v>
      </c>
      <c r="J3" s="1">
        <f>300/12</f>
        <v>25</v>
      </c>
    </row>
    <row r="4" spans="1:10" x14ac:dyDescent="0.25">
      <c r="A4">
        <v>2</v>
      </c>
      <c r="B4" t="s">
        <v>11</v>
      </c>
      <c r="C4" t="s">
        <v>15</v>
      </c>
      <c r="D4">
        <v>330</v>
      </c>
      <c r="E4">
        <v>188</v>
      </c>
      <c r="F4">
        <v>782</v>
      </c>
      <c r="G4">
        <v>400</v>
      </c>
      <c r="H4">
        <v>650</v>
      </c>
      <c r="I4">
        <v>28</v>
      </c>
      <c r="J4" s="1">
        <f t="shared" ref="J4:J5" si="0">300/12</f>
        <v>25</v>
      </c>
    </row>
    <row r="5" spans="1:10" x14ac:dyDescent="0.25">
      <c r="A5">
        <v>3</v>
      </c>
      <c r="B5" t="s">
        <v>12</v>
      </c>
      <c r="C5" t="s">
        <v>15</v>
      </c>
      <c r="D5">
        <v>330</v>
      </c>
      <c r="E5">
        <v>188</v>
      </c>
      <c r="F5">
        <v>782</v>
      </c>
      <c r="G5">
        <v>400</v>
      </c>
      <c r="H5">
        <v>650</v>
      </c>
      <c r="I5">
        <v>28</v>
      </c>
      <c r="J5" s="1">
        <f t="shared" si="0"/>
        <v>25</v>
      </c>
    </row>
    <row r="6" spans="1:10" x14ac:dyDescent="0.25">
      <c r="A6">
        <v>4</v>
      </c>
      <c r="B6" t="s">
        <v>13</v>
      </c>
      <c r="C6" t="s">
        <v>14</v>
      </c>
      <c r="D6">
        <v>310</v>
      </c>
      <c r="E6">
        <v>188</v>
      </c>
      <c r="F6">
        <v>825</v>
      </c>
      <c r="G6">
        <v>400</v>
      </c>
      <c r="H6">
        <v>600</v>
      </c>
      <c r="I6">
        <v>28</v>
      </c>
      <c r="J6" s="1">
        <f>20*12</f>
        <v>240</v>
      </c>
    </row>
    <row r="7" spans="1:10" x14ac:dyDescent="0.25">
      <c r="A7">
        <v>5</v>
      </c>
      <c r="B7" t="s">
        <v>17</v>
      </c>
      <c r="C7" t="s">
        <v>14</v>
      </c>
      <c r="D7">
        <v>310</v>
      </c>
      <c r="E7">
        <v>188</v>
      </c>
      <c r="F7">
        <v>825</v>
      </c>
      <c r="G7">
        <v>400</v>
      </c>
      <c r="H7">
        <v>600</v>
      </c>
      <c r="I7">
        <v>28</v>
      </c>
      <c r="J7" s="1">
        <f>20*12</f>
        <v>240</v>
      </c>
    </row>
    <row r="8" spans="1:10" x14ac:dyDescent="0.25">
      <c r="A8">
        <v>6</v>
      </c>
      <c r="B8" t="s">
        <v>18</v>
      </c>
      <c r="C8" t="s">
        <v>15</v>
      </c>
      <c r="D8">
        <v>310</v>
      </c>
      <c r="E8">
        <v>188</v>
      </c>
      <c r="F8">
        <v>852</v>
      </c>
      <c r="G8">
        <v>950</v>
      </c>
      <c r="H8">
        <v>50</v>
      </c>
      <c r="I8">
        <v>28</v>
      </c>
      <c r="J8" s="1">
        <f>300/12</f>
        <v>25</v>
      </c>
    </row>
    <row r="9" spans="1:10" x14ac:dyDescent="0.25">
      <c r="A9">
        <v>7</v>
      </c>
      <c r="B9" t="s">
        <v>19</v>
      </c>
      <c r="C9" t="s">
        <v>15</v>
      </c>
      <c r="D9">
        <v>310</v>
      </c>
      <c r="E9">
        <v>188</v>
      </c>
      <c r="F9">
        <v>852</v>
      </c>
      <c r="G9">
        <v>950</v>
      </c>
      <c r="H9">
        <v>50</v>
      </c>
      <c r="I9">
        <v>28</v>
      </c>
      <c r="J9" s="1">
        <f t="shared" ref="J9:J10" si="1">300/12</f>
        <v>25</v>
      </c>
    </row>
    <row r="10" spans="1:10" x14ac:dyDescent="0.25">
      <c r="A10">
        <v>8</v>
      </c>
      <c r="B10" t="s">
        <v>20</v>
      </c>
      <c r="C10" t="s">
        <v>15</v>
      </c>
      <c r="D10">
        <v>310</v>
      </c>
      <c r="E10">
        <v>188</v>
      </c>
      <c r="F10">
        <v>852</v>
      </c>
      <c r="G10">
        <v>950</v>
      </c>
      <c r="H10">
        <v>50</v>
      </c>
      <c r="I10">
        <v>28</v>
      </c>
      <c r="J10" s="1">
        <f t="shared" si="1"/>
        <v>25</v>
      </c>
    </row>
    <row r="11" spans="1:10" x14ac:dyDescent="0.25">
      <c r="A11">
        <v>9</v>
      </c>
      <c r="B11" t="s">
        <v>21</v>
      </c>
      <c r="C11" t="s">
        <v>22</v>
      </c>
      <c r="D11">
        <v>273</v>
      </c>
      <c r="E11">
        <v>188</v>
      </c>
      <c r="F11">
        <v>919</v>
      </c>
      <c r="G11">
        <v>400</v>
      </c>
      <c r="H11">
        <v>550</v>
      </c>
      <c r="I11">
        <v>28</v>
      </c>
      <c r="J11" s="1">
        <f>250/12</f>
        <v>20.833333333333332</v>
      </c>
    </row>
    <row r="12" spans="1:10" x14ac:dyDescent="0.25">
      <c r="A12">
        <v>10</v>
      </c>
      <c r="B12" t="s">
        <v>23</v>
      </c>
      <c r="C12" t="s">
        <v>22</v>
      </c>
      <c r="D12">
        <v>273</v>
      </c>
      <c r="E12">
        <v>188</v>
      </c>
      <c r="F12">
        <v>919</v>
      </c>
      <c r="G12">
        <v>400</v>
      </c>
      <c r="H12">
        <v>550</v>
      </c>
      <c r="I12">
        <v>28</v>
      </c>
      <c r="J12" s="1">
        <f t="shared" ref="J12:J19" si="2">250/12</f>
        <v>20.833333333333332</v>
      </c>
    </row>
    <row r="13" spans="1:10" x14ac:dyDescent="0.25">
      <c r="A13">
        <v>11</v>
      </c>
      <c r="B13" t="s">
        <v>24</v>
      </c>
      <c r="C13" t="s">
        <v>22</v>
      </c>
      <c r="D13">
        <v>273</v>
      </c>
      <c r="E13">
        <v>188</v>
      </c>
      <c r="F13">
        <v>919</v>
      </c>
      <c r="G13">
        <v>400</v>
      </c>
      <c r="H13">
        <v>550</v>
      </c>
      <c r="I13">
        <v>28</v>
      </c>
      <c r="J13" s="1">
        <f t="shared" si="2"/>
        <v>20.833333333333332</v>
      </c>
    </row>
    <row r="14" spans="1:10" x14ac:dyDescent="0.25">
      <c r="A14">
        <v>12</v>
      </c>
      <c r="B14" t="s">
        <v>25</v>
      </c>
      <c r="C14" t="s">
        <v>22</v>
      </c>
      <c r="D14">
        <v>273</v>
      </c>
      <c r="E14">
        <v>188</v>
      </c>
      <c r="F14">
        <v>919</v>
      </c>
      <c r="G14">
        <v>400</v>
      </c>
      <c r="H14">
        <v>550</v>
      </c>
      <c r="I14">
        <v>28</v>
      </c>
      <c r="J14" s="1">
        <f t="shared" si="2"/>
        <v>20.833333333333332</v>
      </c>
    </row>
    <row r="15" spans="1:10" x14ac:dyDescent="0.25">
      <c r="A15">
        <v>13</v>
      </c>
      <c r="B15" t="s">
        <v>26</v>
      </c>
      <c r="C15" t="s">
        <v>22</v>
      </c>
      <c r="D15">
        <v>270</v>
      </c>
      <c r="E15">
        <v>188</v>
      </c>
      <c r="F15">
        <v>922</v>
      </c>
      <c r="G15">
        <v>400</v>
      </c>
      <c r="H15">
        <v>550</v>
      </c>
      <c r="I15">
        <v>28</v>
      </c>
      <c r="J15" s="1">
        <f t="shared" si="2"/>
        <v>20.833333333333332</v>
      </c>
    </row>
    <row r="16" spans="1:10" x14ac:dyDescent="0.25">
      <c r="A16">
        <v>14</v>
      </c>
      <c r="B16" t="s">
        <v>27</v>
      </c>
      <c r="C16" t="s">
        <v>22</v>
      </c>
      <c r="D16">
        <v>270</v>
      </c>
      <c r="E16">
        <v>188</v>
      </c>
      <c r="F16">
        <v>922</v>
      </c>
      <c r="G16">
        <v>400</v>
      </c>
      <c r="H16">
        <v>550</v>
      </c>
      <c r="I16">
        <v>28</v>
      </c>
      <c r="J16" s="1">
        <f t="shared" si="2"/>
        <v>20.833333333333332</v>
      </c>
    </row>
    <row r="17" spans="1:10" x14ac:dyDescent="0.25">
      <c r="A17">
        <v>15</v>
      </c>
      <c r="B17" t="s">
        <v>28</v>
      </c>
      <c r="C17" t="s">
        <v>22</v>
      </c>
      <c r="D17">
        <v>270</v>
      </c>
      <c r="E17">
        <v>188</v>
      </c>
      <c r="F17">
        <v>922</v>
      </c>
      <c r="G17">
        <v>400</v>
      </c>
      <c r="H17">
        <v>550</v>
      </c>
      <c r="I17">
        <v>28</v>
      </c>
      <c r="J17" s="1">
        <f t="shared" si="2"/>
        <v>20.833333333333332</v>
      </c>
    </row>
    <row r="18" spans="1:10" x14ac:dyDescent="0.25">
      <c r="A18">
        <v>16</v>
      </c>
      <c r="B18" t="s">
        <v>29</v>
      </c>
      <c r="C18" t="s">
        <v>22</v>
      </c>
      <c r="D18">
        <v>270</v>
      </c>
      <c r="E18">
        <v>188</v>
      </c>
      <c r="F18">
        <v>922</v>
      </c>
      <c r="G18">
        <v>400</v>
      </c>
      <c r="H18">
        <v>550</v>
      </c>
      <c r="I18">
        <v>28</v>
      </c>
      <c r="J18" s="1">
        <f t="shared" si="2"/>
        <v>20.833333333333332</v>
      </c>
    </row>
    <row r="19" spans="1:10" x14ac:dyDescent="0.25">
      <c r="A19">
        <v>17</v>
      </c>
      <c r="B19" t="s">
        <v>30</v>
      </c>
      <c r="C19" t="s">
        <v>22</v>
      </c>
      <c r="D19">
        <v>270</v>
      </c>
      <c r="E19">
        <v>188</v>
      </c>
      <c r="F19">
        <v>922</v>
      </c>
      <c r="G19">
        <v>400</v>
      </c>
      <c r="H19">
        <v>550</v>
      </c>
      <c r="I19">
        <v>28</v>
      </c>
      <c r="J19" s="1">
        <f t="shared" si="2"/>
        <v>20.833333333333332</v>
      </c>
    </row>
    <row r="20" spans="1:10" x14ac:dyDescent="0.25">
      <c r="A20">
        <v>18</v>
      </c>
      <c r="B20" t="s">
        <v>10</v>
      </c>
      <c r="C20" t="s">
        <v>31</v>
      </c>
      <c r="D20">
        <v>130</v>
      </c>
      <c r="E20">
        <v>188</v>
      </c>
      <c r="F20">
        <v>1012</v>
      </c>
      <c r="G20">
        <v>400</v>
      </c>
      <c r="H20">
        <v>500</v>
      </c>
      <c r="I20">
        <v>28</v>
      </c>
      <c r="J20" s="1">
        <f>125/12</f>
        <v>10.416666666666666</v>
      </c>
    </row>
    <row r="21" spans="1:10" x14ac:dyDescent="0.25">
      <c r="A21">
        <v>19</v>
      </c>
      <c r="B21" t="s">
        <v>32</v>
      </c>
      <c r="C21" t="s">
        <v>31</v>
      </c>
      <c r="D21">
        <v>130</v>
      </c>
      <c r="E21">
        <v>188</v>
      </c>
      <c r="F21">
        <v>1012</v>
      </c>
      <c r="G21">
        <v>400</v>
      </c>
      <c r="H21">
        <v>500</v>
      </c>
      <c r="I21">
        <v>28</v>
      </c>
      <c r="J21" s="1">
        <f t="shared" ref="J21:J24" si="3">125/12</f>
        <v>10.416666666666666</v>
      </c>
    </row>
    <row r="22" spans="1:10" x14ac:dyDescent="0.25">
      <c r="A22">
        <v>20</v>
      </c>
      <c r="B22" t="s">
        <v>33</v>
      </c>
      <c r="C22" t="s">
        <v>31</v>
      </c>
      <c r="D22">
        <v>130</v>
      </c>
      <c r="E22">
        <v>188</v>
      </c>
      <c r="F22">
        <v>1012</v>
      </c>
      <c r="G22">
        <v>400</v>
      </c>
      <c r="H22">
        <v>500</v>
      </c>
      <c r="I22">
        <v>28</v>
      </c>
      <c r="J22" s="1">
        <f t="shared" si="3"/>
        <v>10.416666666666666</v>
      </c>
    </row>
    <row r="23" spans="1:10" x14ac:dyDescent="0.25">
      <c r="A23">
        <v>21</v>
      </c>
      <c r="B23" t="s">
        <v>16</v>
      </c>
      <c r="C23" t="s">
        <v>31</v>
      </c>
      <c r="D23">
        <v>130</v>
      </c>
      <c r="E23">
        <v>188</v>
      </c>
      <c r="F23">
        <v>1012</v>
      </c>
      <c r="G23">
        <v>400</v>
      </c>
      <c r="H23">
        <v>500</v>
      </c>
      <c r="I23">
        <v>28</v>
      </c>
      <c r="J23" s="1">
        <f t="shared" si="3"/>
        <v>10.416666666666666</v>
      </c>
    </row>
    <row r="24" spans="1:10" x14ac:dyDescent="0.25">
      <c r="A24">
        <v>22</v>
      </c>
      <c r="B24" t="s">
        <v>34</v>
      </c>
      <c r="C24" t="s">
        <v>31</v>
      </c>
      <c r="D24">
        <v>130</v>
      </c>
      <c r="E24">
        <v>188</v>
      </c>
      <c r="F24">
        <v>1012</v>
      </c>
      <c r="G24">
        <v>400</v>
      </c>
      <c r="H24">
        <v>500</v>
      </c>
      <c r="I24">
        <v>28</v>
      </c>
      <c r="J24" s="1">
        <f t="shared" si="3"/>
        <v>10.416666666666666</v>
      </c>
    </row>
    <row r="25" spans="1:10" x14ac:dyDescent="0.25">
      <c r="A25">
        <v>23</v>
      </c>
      <c r="B25" t="s">
        <v>35</v>
      </c>
      <c r="C25" t="s">
        <v>36</v>
      </c>
      <c r="D25">
        <v>230</v>
      </c>
      <c r="E25">
        <v>188</v>
      </c>
      <c r="F25">
        <v>1010</v>
      </c>
      <c r="G25">
        <v>602</v>
      </c>
      <c r="H25">
        <v>300</v>
      </c>
      <c r="I25">
        <v>28</v>
      </c>
      <c r="J25" s="1">
        <f>225/12</f>
        <v>18.75</v>
      </c>
    </row>
    <row r="26" spans="1:10" x14ac:dyDescent="0.25">
      <c r="A26">
        <v>24</v>
      </c>
      <c r="B26" t="s">
        <v>34</v>
      </c>
      <c r="C26" t="s">
        <v>36</v>
      </c>
      <c r="D26">
        <v>230</v>
      </c>
      <c r="E26">
        <v>188</v>
      </c>
      <c r="F26">
        <v>1010</v>
      </c>
      <c r="G26">
        <v>602</v>
      </c>
      <c r="H26">
        <v>300</v>
      </c>
      <c r="I26">
        <v>28</v>
      </c>
      <c r="J26" s="1">
        <f t="shared" ref="J26:J27" si="4">225/12</f>
        <v>18.75</v>
      </c>
    </row>
    <row r="27" spans="1:10" x14ac:dyDescent="0.25">
      <c r="A27">
        <v>25</v>
      </c>
      <c r="B27" t="s">
        <v>37</v>
      </c>
      <c r="C27" t="s">
        <v>36</v>
      </c>
      <c r="D27">
        <v>230</v>
      </c>
      <c r="E27">
        <v>188</v>
      </c>
      <c r="F27">
        <v>1010</v>
      </c>
      <c r="G27">
        <v>602</v>
      </c>
      <c r="H27">
        <v>300</v>
      </c>
      <c r="I27">
        <v>28</v>
      </c>
      <c r="J27" s="1">
        <f t="shared" si="4"/>
        <v>18.75</v>
      </c>
    </row>
    <row r="28" spans="1:10" x14ac:dyDescent="0.25">
      <c r="A28">
        <v>26</v>
      </c>
      <c r="B28" t="s">
        <v>38</v>
      </c>
      <c r="C28" t="s">
        <v>39</v>
      </c>
      <c r="D28">
        <v>210</v>
      </c>
      <c r="E28">
        <v>188</v>
      </c>
      <c r="F28">
        <v>1032</v>
      </c>
      <c r="G28">
        <v>400</v>
      </c>
      <c r="H28">
        <v>500</v>
      </c>
      <c r="I28">
        <v>28</v>
      </c>
      <c r="J28" s="1">
        <f>200/12</f>
        <v>16.666666666666668</v>
      </c>
    </row>
    <row r="29" spans="1:10" x14ac:dyDescent="0.25">
      <c r="A29">
        <v>27</v>
      </c>
      <c r="B29" t="s">
        <v>10</v>
      </c>
      <c r="C29" t="s">
        <v>15</v>
      </c>
      <c r="D29">
        <v>310</v>
      </c>
      <c r="E29">
        <v>188</v>
      </c>
      <c r="F29">
        <v>890</v>
      </c>
      <c r="G29">
        <v>400</v>
      </c>
      <c r="H29">
        <v>562</v>
      </c>
      <c r="I29">
        <v>28</v>
      </c>
      <c r="J29" s="1">
        <f>300/12</f>
        <v>25</v>
      </c>
    </row>
    <row r="30" spans="1:10" x14ac:dyDescent="0.25">
      <c r="A30">
        <v>28</v>
      </c>
      <c r="B30" t="s">
        <v>33</v>
      </c>
      <c r="C30" t="s">
        <v>22</v>
      </c>
      <c r="D30">
        <v>273</v>
      </c>
      <c r="E30">
        <v>188</v>
      </c>
      <c r="F30">
        <v>1069</v>
      </c>
      <c r="G30">
        <v>800</v>
      </c>
      <c r="H30">
        <v>0</v>
      </c>
      <c r="I30">
        <v>28</v>
      </c>
      <c r="J30" s="1">
        <f>250/12</f>
        <v>20.833333333333332</v>
      </c>
    </row>
    <row r="31" spans="1:10" x14ac:dyDescent="0.25">
      <c r="A31">
        <v>29</v>
      </c>
      <c r="B31" t="s">
        <v>40</v>
      </c>
      <c r="C31" t="s">
        <v>22</v>
      </c>
      <c r="D31">
        <v>273</v>
      </c>
      <c r="E31">
        <v>188</v>
      </c>
      <c r="F31">
        <v>1069</v>
      </c>
      <c r="G31">
        <v>800</v>
      </c>
      <c r="H31">
        <v>0</v>
      </c>
      <c r="I31">
        <v>28</v>
      </c>
      <c r="J31" s="1">
        <f t="shared" ref="J31:J37" si="5">250/12</f>
        <v>20.833333333333332</v>
      </c>
    </row>
    <row r="32" spans="1:10" x14ac:dyDescent="0.25">
      <c r="A32">
        <v>30</v>
      </c>
      <c r="B32" t="s">
        <v>41</v>
      </c>
      <c r="C32" t="s">
        <v>22</v>
      </c>
      <c r="D32">
        <v>270</v>
      </c>
      <c r="E32">
        <v>188</v>
      </c>
      <c r="F32">
        <v>1072</v>
      </c>
      <c r="G32">
        <v>800</v>
      </c>
      <c r="H32">
        <v>0</v>
      </c>
      <c r="I32">
        <v>28</v>
      </c>
      <c r="J32" s="1">
        <f t="shared" si="5"/>
        <v>20.833333333333332</v>
      </c>
    </row>
    <row r="33" spans="1:10" x14ac:dyDescent="0.25">
      <c r="A33">
        <v>31</v>
      </c>
      <c r="B33" t="s">
        <v>42</v>
      </c>
      <c r="C33" t="s">
        <v>22</v>
      </c>
      <c r="D33">
        <v>270</v>
      </c>
      <c r="E33">
        <v>188</v>
      </c>
      <c r="F33">
        <v>1072</v>
      </c>
      <c r="G33">
        <v>800</v>
      </c>
      <c r="H33">
        <v>0</v>
      </c>
      <c r="I33">
        <v>28</v>
      </c>
      <c r="J33" s="1">
        <f t="shared" si="5"/>
        <v>20.833333333333332</v>
      </c>
    </row>
    <row r="34" spans="1:10" x14ac:dyDescent="0.25">
      <c r="A34">
        <v>32</v>
      </c>
      <c r="B34" t="s">
        <v>43</v>
      </c>
      <c r="C34" t="s">
        <v>22</v>
      </c>
      <c r="D34">
        <v>270</v>
      </c>
      <c r="E34">
        <v>188</v>
      </c>
      <c r="F34">
        <v>1072</v>
      </c>
      <c r="G34">
        <v>800</v>
      </c>
      <c r="H34">
        <v>0</v>
      </c>
      <c r="I34">
        <v>28</v>
      </c>
      <c r="J34" s="1">
        <f t="shared" si="5"/>
        <v>20.833333333333332</v>
      </c>
    </row>
    <row r="35" spans="1:10" x14ac:dyDescent="0.25">
      <c r="A35">
        <v>33</v>
      </c>
      <c r="B35" t="s">
        <v>44</v>
      </c>
      <c r="C35" t="s">
        <v>22</v>
      </c>
      <c r="D35">
        <v>270</v>
      </c>
      <c r="E35">
        <v>188</v>
      </c>
      <c r="F35">
        <v>1072</v>
      </c>
      <c r="G35">
        <v>800</v>
      </c>
      <c r="H35">
        <v>0</v>
      </c>
      <c r="I35">
        <v>28</v>
      </c>
      <c r="J35" s="1">
        <f t="shared" si="5"/>
        <v>20.833333333333332</v>
      </c>
    </row>
    <row r="36" spans="1:10" x14ac:dyDescent="0.25">
      <c r="A36">
        <v>34</v>
      </c>
      <c r="B36" t="s">
        <v>45</v>
      </c>
      <c r="C36" t="s">
        <v>22</v>
      </c>
      <c r="D36">
        <v>270</v>
      </c>
      <c r="E36">
        <v>188</v>
      </c>
      <c r="F36">
        <v>1072</v>
      </c>
      <c r="G36">
        <v>800</v>
      </c>
      <c r="H36">
        <v>0</v>
      </c>
      <c r="I36">
        <v>28</v>
      </c>
      <c r="J36" s="1">
        <f t="shared" si="5"/>
        <v>20.833333333333332</v>
      </c>
    </row>
    <row r="37" spans="1:10" x14ac:dyDescent="0.25">
      <c r="A37">
        <v>35</v>
      </c>
      <c r="B37" t="s">
        <v>46</v>
      </c>
      <c r="C37" t="s">
        <v>22</v>
      </c>
      <c r="D37">
        <v>270</v>
      </c>
      <c r="E37">
        <v>188</v>
      </c>
      <c r="F37">
        <v>1072</v>
      </c>
      <c r="G37">
        <v>800</v>
      </c>
      <c r="H37">
        <v>0</v>
      </c>
      <c r="I37">
        <v>28</v>
      </c>
      <c r="J37" s="1">
        <f t="shared" si="5"/>
        <v>20.833333333333332</v>
      </c>
    </row>
    <row r="38" spans="1:10" x14ac:dyDescent="0.25">
      <c r="A38">
        <v>36</v>
      </c>
      <c r="B38" t="s">
        <v>47</v>
      </c>
      <c r="C38" t="s">
        <v>48</v>
      </c>
      <c r="D38">
        <v>273</v>
      </c>
      <c r="E38">
        <v>188</v>
      </c>
      <c r="F38">
        <v>1069</v>
      </c>
      <c r="G38">
        <v>800</v>
      </c>
      <c r="H38">
        <v>0</v>
      </c>
      <c r="I38">
        <v>28</v>
      </c>
      <c r="J38" s="1">
        <f>15*12</f>
        <v>180</v>
      </c>
    </row>
    <row r="39" spans="1:10" x14ac:dyDescent="0.25">
      <c r="A39">
        <v>37</v>
      </c>
      <c r="B39" t="s">
        <v>49</v>
      </c>
      <c r="C39" t="s">
        <v>48</v>
      </c>
      <c r="D39">
        <v>273</v>
      </c>
      <c r="E39">
        <v>188</v>
      </c>
      <c r="F39">
        <v>1069</v>
      </c>
      <c r="G39">
        <v>800</v>
      </c>
      <c r="H39">
        <v>0</v>
      </c>
      <c r="I39">
        <v>28</v>
      </c>
      <c r="J39" s="1">
        <f>15*12</f>
        <v>180</v>
      </c>
    </row>
    <row r="40" spans="1:10" x14ac:dyDescent="0.25">
      <c r="A40">
        <v>38</v>
      </c>
      <c r="B40" t="s">
        <v>50</v>
      </c>
      <c r="C40" t="s">
        <v>51</v>
      </c>
      <c r="D40">
        <v>273</v>
      </c>
      <c r="E40">
        <v>188</v>
      </c>
      <c r="F40">
        <v>1069</v>
      </c>
      <c r="G40">
        <v>800</v>
      </c>
      <c r="H40">
        <v>0</v>
      </c>
      <c r="I40">
        <v>28</v>
      </c>
      <c r="J40" s="1">
        <f>175/12</f>
        <v>14.583333333333334</v>
      </c>
    </row>
    <row r="41" spans="1:10" x14ac:dyDescent="0.25">
      <c r="A41">
        <v>39</v>
      </c>
      <c r="B41" t="s">
        <v>49</v>
      </c>
      <c r="C41" t="s">
        <v>51</v>
      </c>
      <c r="D41">
        <v>273</v>
      </c>
      <c r="E41">
        <v>188</v>
      </c>
      <c r="F41">
        <v>1069</v>
      </c>
      <c r="G41">
        <v>800</v>
      </c>
      <c r="H41">
        <v>0</v>
      </c>
      <c r="I41">
        <v>28</v>
      </c>
      <c r="J41" s="1">
        <f t="shared" ref="J41:J42" si="6">175/12</f>
        <v>14.583333333333334</v>
      </c>
    </row>
    <row r="42" spans="1:10" x14ac:dyDescent="0.25">
      <c r="A42">
        <v>40</v>
      </c>
      <c r="B42" t="s">
        <v>52</v>
      </c>
      <c r="C42" t="s">
        <v>51</v>
      </c>
      <c r="D42">
        <v>273</v>
      </c>
      <c r="E42">
        <v>188</v>
      </c>
      <c r="F42">
        <v>1069</v>
      </c>
      <c r="G42">
        <v>800</v>
      </c>
      <c r="H42">
        <v>0</v>
      </c>
      <c r="I42">
        <v>28</v>
      </c>
      <c r="J42" s="1">
        <f t="shared" si="6"/>
        <v>14.583333333333334</v>
      </c>
    </row>
    <row r="43" spans="1:10" x14ac:dyDescent="0.25">
      <c r="A43">
        <v>41</v>
      </c>
      <c r="B43" t="s">
        <v>34</v>
      </c>
      <c r="C43" t="s">
        <v>36</v>
      </c>
      <c r="D43">
        <v>230</v>
      </c>
      <c r="E43">
        <v>188</v>
      </c>
      <c r="F43">
        <v>1112</v>
      </c>
      <c r="G43">
        <v>800</v>
      </c>
      <c r="H43">
        <v>0</v>
      </c>
      <c r="I43">
        <v>28</v>
      </c>
      <c r="J43">
        <f>225/12</f>
        <v>18.75</v>
      </c>
    </row>
    <row r="44" spans="1:10" x14ac:dyDescent="0.25">
      <c r="A44">
        <v>42</v>
      </c>
      <c r="B44" t="s">
        <v>53</v>
      </c>
      <c r="C44" t="s">
        <v>51</v>
      </c>
      <c r="D44">
        <v>180</v>
      </c>
      <c r="E44">
        <v>188</v>
      </c>
      <c r="F44">
        <v>1062</v>
      </c>
      <c r="G44">
        <v>800</v>
      </c>
      <c r="H44">
        <v>0</v>
      </c>
      <c r="I44">
        <v>28</v>
      </c>
      <c r="J44" s="1">
        <f>175/12</f>
        <v>14.583333333333334</v>
      </c>
    </row>
    <row r="45" spans="1:10" x14ac:dyDescent="0.25">
      <c r="A45">
        <v>43</v>
      </c>
      <c r="B45" t="s">
        <v>54</v>
      </c>
      <c r="C45" t="s">
        <v>31</v>
      </c>
      <c r="D45">
        <v>130</v>
      </c>
      <c r="E45">
        <v>188</v>
      </c>
      <c r="F45">
        <v>1112</v>
      </c>
      <c r="G45">
        <v>800</v>
      </c>
      <c r="H45">
        <v>0</v>
      </c>
      <c r="I45">
        <v>28</v>
      </c>
      <c r="J45" s="1">
        <f>125/12</f>
        <v>10.416666666666666</v>
      </c>
    </row>
    <row r="46" spans="1:10" x14ac:dyDescent="0.25">
      <c r="A46">
        <v>44</v>
      </c>
      <c r="B46" t="s">
        <v>55</v>
      </c>
      <c r="C46" t="s">
        <v>51</v>
      </c>
      <c r="D46">
        <v>180</v>
      </c>
      <c r="E46">
        <v>188</v>
      </c>
      <c r="F46">
        <v>1061</v>
      </c>
      <c r="G46">
        <v>800</v>
      </c>
      <c r="H46">
        <v>0</v>
      </c>
      <c r="I46">
        <v>28</v>
      </c>
      <c r="J46" s="1">
        <f>175/12</f>
        <v>14.583333333333334</v>
      </c>
    </row>
    <row r="47" spans="1:10" x14ac:dyDescent="0.25">
      <c r="A47">
        <v>45</v>
      </c>
      <c r="B47" t="s">
        <v>56</v>
      </c>
      <c r="C47" t="s">
        <v>51</v>
      </c>
      <c r="D47">
        <v>180</v>
      </c>
      <c r="E47">
        <v>188</v>
      </c>
      <c r="F47">
        <v>1061</v>
      </c>
      <c r="G47">
        <v>800</v>
      </c>
      <c r="H47">
        <v>0</v>
      </c>
      <c r="I47">
        <v>28</v>
      </c>
      <c r="J47" s="1">
        <f t="shared" ref="J47:J48" si="7">175/12</f>
        <v>14.583333333333334</v>
      </c>
    </row>
    <row r="48" spans="1:10" x14ac:dyDescent="0.25">
      <c r="A48">
        <v>46</v>
      </c>
      <c r="B48" t="s">
        <v>57</v>
      </c>
      <c r="C48" t="s">
        <v>51</v>
      </c>
      <c r="D48">
        <v>180</v>
      </c>
      <c r="E48">
        <v>188</v>
      </c>
      <c r="F48">
        <v>1061</v>
      </c>
      <c r="G48">
        <v>800</v>
      </c>
      <c r="H48">
        <v>0</v>
      </c>
      <c r="I48">
        <v>28</v>
      </c>
      <c r="J48" s="1">
        <f t="shared" si="7"/>
        <v>14.583333333333334</v>
      </c>
    </row>
    <row r="49" spans="1:10" x14ac:dyDescent="0.25">
      <c r="A49">
        <v>47</v>
      </c>
      <c r="B49" t="s">
        <v>38</v>
      </c>
      <c r="C49" t="s">
        <v>31</v>
      </c>
      <c r="D49">
        <v>130</v>
      </c>
      <c r="E49">
        <v>188</v>
      </c>
      <c r="F49">
        <v>1112</v>
      </c>
      <c r="G49">
        <v>800</v>
      </c>
      <c r="H49">
        <v>0</v>
      </c>
      <c r="I49">
        <v>28</v>
      </c>
      <c r="J49" s="1">
        <f>125/12</f>
        <v>10.416666666666666</v>
      </c>
    </row>
    <row r="50" spans="1:10" x14ac:dyDescent="0.25">
      <c r="A50">
        <v>48</v>
      </c>
      <c r="B50" t="s">
        <v>57</v>
      </c>
      <c r="C50" t="s">
        <v>31</v>
      </c>
      <c r="D50">
        <v>130</v>
      </c>
      <c r="E50">
        <v>188</v>
      </c>
      <c r="F50">
        <v>1112</v>
      </c>
      <c r="G50">
        <v>800</v>
      </c>
      <c r="H50">
        <v>0</v>
      </c>
      <c r="I50">
        <v>28</v>
      </c>
      <c r="J50" s="1">
        <f t="shared" ref="J50:J51" si="8">125/12</f>
        <v>10.416666666666666</v>
      </c>
    </row>
    <row r="51" spans="1:10" x14ac:dyDescent="0.25">
      <c r="A51">
        <v>49</v>
      </c>
      <c r="B51" t="s">
        <v>54</v>
      </c>
      <c r="C51" t="s">
        <v>31</v>
      </c>
      <c r="D51">
        <v>130</v>
      </c>
      <c r="E51">
        <v>188</v>
      </c>
      <c r="F51">
        <v>1112</v>
      </c>
      <c r="G51">
        <v>800</v>
      </c>
      <c r="H51">
        <v>0</v>
      </c>
      <c r="I51">
        <v>28</v>
      </c>
      <c r="J51" s="1">
        <f t="shared" si="8"/>
        <v>10.416666666666666</v>
      </c>
    </row>
    <row r="52" spans="1:10" x14ac:dyDescent="0.25">
      <c r="A52">
        <v>50</v>
      </c>
      <c r="B52" t="s">
        <v>58</v>
      </c>
      <c r="C52" t="s">
        <v>59</v>
      </c>
      <c r="D52">
        <v>430</v>
      </c>
      <c r="E52">
        <v>188</v>
      </c>
      <c r="F52">
        <v>830</v>
      </c>
      <c r="G52">
        <v>900</v>
      </c>
      <c r="H52">
        <v>0</v>
      </c>
      <c r="I52">
        <v>28</v>
      </c>
      <c r="J52" s="1">
        <f>400/12</f>
        <v>33.333333333333336</v>
      </c>
    </row>
    <row r="53" spans="1:10" x14ac:dyDescent="0.25">
      <c r="A53">
        <v>51</v>
      </c>
      <c r="B53" t="s">
        <v>52</v>
      </c>
      <c r="C53" t="s">
        <v>51</v>
      </c>
      <c r="D53">
        <v>180</v>
      </c>
      <c r="E53">
        <v>188</v>
      </c>
      <c r="F53">
        <v>1059</v>
      </c>
      <c r="G53">
        <v>600</v>
      </c>
      <c r="H53">
        <v>202</v>
      </c>
      <c r="I53">
        <v>28</v>
      </c>
      <c r="J53" s="1">
        <f>175/12</f>
        <v>14.583333333333334</v>
      </c>
    </row>
    <row r="54" spans="1:10" x14ac:dyDescent="0.25">
      <c r="A54">
        <v>52</v>
      </c>
      <c r="B54" t="s">
        <v>60</v>
      </c>
      <c r="C54" t="s">
        <v>22</v>
      </c>
      <c r="D54">
        <v>270</v>
      </c>
      <c r="E54">
        <v>188</v>
      </c>
      <c r="F54">
        <v>1071</v>
      </c>
      <c r="G54">
        <v>800</v>
      </c>
      <c r="H54">
        <v>0</v>
      </c>
      <c r="I54">
        <v>28</v>
      </c>
      <c r="J54" s="1">
        <f>250/12</f>
        <v>20.833333333333332</v>
      </c>
    </row>
    <row r="55" spans="1:10" x14ac:dyDescent="0.25">
      <c r="A55">
        <v>53</v>
      </c>
      <c r="B55" t="s">
        <v>52</v>
      </c>
      <c r="C55" t="s">
        <v>22</v>
      </c>
      <c r="D55">
        <v>273</v>
      </c>
      <c r="E55">
        <v>188</v>
      </c>
      <c r="F55">
        <v>1068</v>
      </c>
      <c r="G55">
        <v>800</v>
      </c>
      <c r="H55">
        <v>0</v>
      </c>
      <c r="I55">
        <v>28</v>
      </c>
      <c r="J55" s="1">
        <f>250/12</f>
        <v>20.833333333333332</v>
      </c>
    </row>
    <row r="56" spans="1:10" x14ac:dyDescent="0.25">
      <c r="A56">
        <v>54</v>
      </c>
      <c r="B56" t="s">
        <v>56</v>
      </c>
      <c r="C56" t="s">
        <v>36</v>
      </c>
      <c r="D56">
        <v>230</v>
      </c>
      <c r="E56">
        <v>188</v>
      </c>
      <c r="F56">
        <v>1112</v>
      </c>
      <c r="G56">
        <v>800</v>
      </c>
      <c r="H56">
        <v>0</v>
      </c>
      <c r="I56">
        <v>28</v>
      </c>
      <c r="J56" s="1">
        <f>225/12</f>
        <v>18.75</v>
      </c>
    </row>
    <row r="57" spans="1:10" x14ac:dyDescent="0.25">
      <c r="A57">
        <v>55</v>
      </c>
      <c r="B57" t="s">
        <v>61</v>
      </c>
      <c r="C57" t="s">
        <v>62</v>
      </c>
      <c r="D57">
        <v>350</v>
      </c>
      <c r="E57">
        <v>188</v>
      </c>
      <c r="F57">
        <v>911</v>
      </c>
      <c r="G57">
        <v>900</v>
      </c>
      <c r="H57">
        <v>0</v>
      </c>
      <c r="I57">
        <v>28</v>
      </c>
      <c r="J57" s="1">
        <f>350/12</f>
        <v>29.166666666666668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ABIAN</dc:creator>
  <cp:lastModifiedBy>ABIAN</cp:lastModifiedBy>
  <dcterms:created xsi:type="dcterms:W3CDTF">2026-03-09T02:54:55Z</dcterms:created>
  <dcterms:modified xsi:type="dcterms:W3CDTF">2026-03-09T06:01:51Z</dcterms:modified>
</cp:coreProperties>
</file>